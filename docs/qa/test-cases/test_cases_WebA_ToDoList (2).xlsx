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hêm Task" sheetId="2" state="visible" r:id="rId4"/>
    <sheet name="Toggle Task" sheetId="3" state="visible" r:id="rId5"/>
    <sheet name="Xóa Task" sheetId="4" state="visible" r:id="rId6"/>
    <sheet name="Bộ lọc" sheetId="5" state="visible" r:id="rId7"/>
    <sheet name="Performance" sheetId="6" state="visible" r:id="rId8"/>
    <sheet name="Lưu trữ dữ liệu" sheetId="7" state="visible" r:id="rId9"/>
    <sheet name="Cross-Browser" sheetId="8" state="visible" r:id="rId10"/>
  </sheets>
  <definedNames>
    <definedName function="false" hidden="true" localSheetId="4" name="_xlnm._FilterDatabase" vbProcedure="false">'Bộ lọc'!$A$7:$I$16</definedName>
    <definedName function="false" hidden="true" localSheetId="7" name="_xlnm._FilterDatabase" vbProcedure="false">'Cross-Browser'!$A$7:$I$11</definedName>
    <definedName function="false" hidden="true" localSheetId="6" name="_xlnm._FilterDatabase" vbProcedure="false">'Lưu trữ dữ liệu'!$A$7:$I$14</definedName>
    <definedName function="false" hidden="true" localSheetId="5" name="_xlnm._FilterDatabase" vbProcedure="false">Performance!$A$7:$I$11</definedName>
    <definedName function="false" hidden="true" localSheetId="1" name="_xlnm._FilterDatabase" vbProcedure="false">'Thêm Task'!$A$7:$I$19</definedName>
    <definedName function="false" hidden="true" localSheetId="2" name="_xlnm._FilterDatabase" vbProcedure="false">'Toggle Task'!$A$7:$I$13</definedName>
    <definedName function="false" hidden="true" localSheetId="3" name="_xlnm._FilterDatabase" vbProcedure="false">'Xóa Task'!$A$7:$I$14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<sst xmlns="http://schemas.openxmlformats.org/spreadsheetml/2006/main" count="442" uniqueCount="245">
  <si>
    <t xml:space="preserve">Project</t>
  </si>
  <si>
    <t xml:space="preserve">Web A - To-Do List Application</t>
  </si>
  <si>
    <t xml:space="preserve">Priority</t>
  </si>
  <si>
    <t xml:space="preserve">Số lượng</t>
  </si>
  <si>
    <t xml:space="preserve">Test date</t>
  </si>
  <si>
    <t xml:space="preserve">High</t>
  </si>
  <si>
    <t xml:space="preserve">Devices</t>
  </si>
  <si>
    <t xml:space="preserve">Chrome / Firefox / Safari / Edge</t>
  </si>
  <si>
    <t xml:space="preserve">Medium</t>
  </si>
  <si>
    <t xml:space="preserve">Build</t>
  </si>
  <si>
    <t xml:space="preserve">Low</t>
  </si>
  <si>
    <t xml:space="preserve">Module</t>
  </si>
  <si>
    <t xml:space="preserve">Module status</t>
  </si>
  <si>
    <t xml:space="preserve">Testcase status</t>
  </si>
  <si>
    <t xml:space="preserve">Total testcase</t>
  </si>
  <si>
    <t xml:space="preserve">Execution Coverage</t>
  </si>
  <si>
    <t xml:space="preserve">Pass rate</t>
  </si>
  <si>
    <t xml:space="preserve">Pass</t>
  </si>
  <si>
    <t xml:space="preserve">Fail</t>
  </si>
  <si>
    <t xml:space="preserve">N/T</t>
  </si>
  <si>
    <t xml:space="preserve">1. Thêm Task</t>
  </si>
  <si>
    <t xml:space="preserve">2. Toggle Task</t>
  </si>
  <si>
    <t xml:space="preserve">3. Xóa Task</t>
  </si>
  <si>
    <t xml:space="preserve">4. Bộ lọc</t>
  </si>
  <si>
    <t xml:space="preserve">5. Performance</t>
  </si>
  <si>
    <t xml:space="preserve">6. Lưu trữ dữ liệu</t>
  </si>
  <si>
    <t xml:space="preserve">7. Cross-Browser</t>
  </si>
  <si>
    <t xml:space="preserve">TỔNG CỘNG</t>
  </si>
  <si>
    <t xml:space="preserve">Status</t>
  </si>
  <si>
    <t xml:space="preserve">Web A - To-Do List</t>
  </si>
  <si>
    <t xml:space="preserve">Thêm Task</t>
  </si>
  <si>
    <t xml:space="preserve">Total</t>
  </si>
  <si>
    <t xml:space="preserve">Testdate</t>
  </si>
  <si>
    <t xml:space="preserve">No.</t>
  </si>
  <si>
    <t xml:space="preserve">Title testcase</t>
  </si>
  <si>
    <t xml:space="preserve">Pre-condition</t>
  </si>
  <si>
    <t xml:space="preserve">Step by step</t>
  </si>
  <si>
    <t xml:space="preserve">Expected result</t>
  </si>
  <si>
    <t xml:space="preserve">Actual result</t>
  </si>
  <si>
    <t xml:space="preserve">Evidence</t>
  </si>
  <si>
    <t xml:space="preserve">Note</t>
  </si>
  <si>
    <t xml:space="preserve">TC-ADD-01</t>
  </si>
  <si>
    <t xml:space="preserve">Thêm task hợp lệ bằng nút Add</t>
  </si>
  <si>
    <t xml:space="preserve">Người dùng đang ở giao diện chính, ô input trống.</t>
  </si>
  <si>
    <t xml:space="preserve">1. Click vào ô input.
2. Nhập nội dung task.
3. Click nút 'Add'.</t>
  </si>
  <si>
    <t xml:space="preserve">Task 'Học Testing as Code' xuất hiện trong danh sách với trạng thái Pending. Ô input được tự động làm trống.</t>
  </si>
  <si>
    <t xml:space="preserve">TC-ADD-02</t>
  </si>
  <si>
    <t xml:space="preserve">Thêm task hợp lệ bằng phím Enter</t>
  </si>
  <si>
    <t xml:space="preserve">1. Click vào ô input.
2. Nhập nội dung task.
3. Nhấn phím Enter.</t>
  </si>
  <si>
    <t xml:space="preserve">Task 'Mua sách Git' xuất hiện trong danh sách với trạng thái Pending. Ô input được làm trống.</t>
  </si>
  <si>
    <t xml:space="preserve">TC-ADD-03</t>
  </si>
  <si>
    <t xml:space="preserve">Không cho thêm task khi ô input để trống</t>
  </si>
  <si>
    <t xml:space="preserve">Ô input đang trống.</t>
  </si>
  <si>
    <t xml:space="preserve">1. Không nhập gì vào ô input.
2. Click nút 'Add' (hoặc nhấn Enter).</t>
  </si>
  <si>
    <t xml:space="preserve">Không có task mới được thêm. Không phát sinh lỗi JS console.</t>
  </si>
  <si>
    <t xml:space="preserve">TC-ADD-04</t>
  </si>
  <si>
    <t xml:space="preserve">Không cho thêm task khi chỉ nhập khoảng trắng</t>
  </si>
  <si>
    <t xml:space="preserve">1. Nhập chuỗi chỉ gồm khoảng trắng.
2. Click nút 'Add'.</t>
  </si>
  <si>
    <t xml:space="preserve">Không có task mới được thêm (chuỗi chỉ khoảng trắng bị coi là rỗng sau khi trim).</t>
  </si>
  <si>
    <t xml:space="preserve">TC-ADD-05</t>
  </si>
  <si>
    <t xml:space="preserve">Tự động trim khoảng trắng thừa ở đầu/cuối chuỗi nhập</t>
  </si>
  <si>
    <t xml:space="preserve">1. Nhập chuỗi có khoảng trắng thừa ở đầu/cuối.
2. Click nút 'Add'.</t>
  </si>
  <si>
    <t xml:space="preserve">Task được thêm với nội dung đã trim: "Đi chợ mua rau".</t>
  </si>
  <si>
    <t xml:space="preserve">TC-ADD-06</t>
  </si>
  <si>
    <t xml:space="preserve">[Security] Nhập thẻ script vào task – kiểm tra chống XSS</t>
  </si>
  <si>
    <t xml:space="preserve">1. Nhập chuỗi chứa thẻ script.
2. Click 'Add'.
3. Quan sát danh sách và Console log.</t>
  </si>
  <si>
    <t xml:space="preserve">Task hiển thị dạng text thuần, KHÔNG thực thi JS. Không có popup alert, không lỗi Console.</t>
  </si>
  <si>
    <t xml:space="preserve">TC-ADD-07</t>
  </si>
  <si>
    <t xml:space="preserve">[Security] Nhập thẻ HTML định dạng vào task</t>
  </si>
  <si>
    <t xml:space="preserve">1. Nhập chuỗi chứa thẻ HTML.
2. Click 'Add'.</t>
  </si>
  <si>
    <t xml:space="preserve">Task hiển thị nguyên văn dạng text, không bị render thành chữ đậm.</t>
  </si>
  <si>
    <t xml:space="preserve">TC-ADD-08</t>
  </si>
  <si>
    <t xml:space="preserve">[Boundary] Nhập tên task rất dài (255+ ký tự)</t>
  </si>
  <si>
    <t xml:space="preserve">1. Nhập chuỗi 255+ ký tự.
2. Click 'Add'.
3. Quan sát layout.</t>
  </si>
  <si>
    <t xml:space="preserve">Task được thêm thành công, layout không bị vỡ (text wrap/truncate hợp lý).</t>
  </si>
  <si>
    <t xml:space="preserve">TC-ADD-09</t>
  </si>
  <si>
    <t xml:space="preserve">Thêm nhiều task liên tiếp (spam click nút Add)</t>
  </si>
  <si>
    <t xml:space="preserve">1. Nhập nội dung task.
2. Spam click nút 'Add' nhiều lần nhanh.</t>
  </si>
  <si>
    <t xml:space="preserve">Chỉ 1 task được thêm. Không có task trùng lặp hoặc lỗi ứng dụng.</t>
  </si>
  <si>
    <t xml:space="preserve">TC-ADD-10</t>
  </si>
  <si>
    <t xml:space="preserve">Thêm task chứa ký tự đặc biệt và emoji</t>
  </si>
  <si>
    <t xml:space="preserve">1. Nhập nội dung có ký tự đặc biệt/emoji.
2. Click 'Add'.</t>
  </si>
  <si>
    <t xml:space="preserve">Task được thêm thành công, hiển thị chính xác emoji và ký tự đặc biệt.</t>
  </si>
  <si>
    <t xml:space="preserve">TC-ADD-11</t>
  </si>
  <si>
    <t xml:space="preserve">Thêm task trùng tên với task đã tồn tại</t>
  </si>
  <si>
    <t xml:space="preserve">Danh sách đã có sẵn task 'Đọc sách'.</t>
  </si>
  <si>
    <t xml:space="preserve">1. Nhập nội dung trùng tên.
2. Click 'Add'.</t>
  </si>
  <si>
    <t xml:space="preserve">Task mới vẫn được thêm như 1 item độc lập. Danh sách hiển thị 2 task 'Đọc sách' riêng biệt.</t>
  </si>
  <si>
    <t xml:space="preserve">Toggle Task</t>
  </si>
  <si>
    <t xml:space="preserve">TC-TOGGLE-01</t>
  </si>
  <si>
    <t xml:space="preserve">Chuyển task từ Active sang Completed</t>
  </si>
  <si>
    <t xml:space="preserve">Danh sách có sẵn task 'Mua sách Git' ở trạng thái Active.</t>
  </si>
  <si>
    <t xml:space="preserve">1. Click checkbox của task.
2. Quan sát trạng thái và giao diện.</t>
  </si>
  <si>
    <t xml:space="preserve">Checkbox checked. Trạng thái chuyển Completed. Tiêu đề có strikethrough.</t>
  </si>
  <si>
    <t xml:space="preserve">TC-TOGGLE-02</t>
  </si>
  <si>
    <t xml:space="preserve">Chuyển task từ Completed về lại Active</t>
  </si>
  <si>
    <t xml:space="preserve">Danh sách có sẵn task 'Mua sách Git' ở trạng thái Completed.</t>
  </si>
  <si>
    <t xml:space="preserve">1. Click lại checkbox để bỏ chọn.
2. Quan sát trạng thái và giao diện.</t>
  </si>
  <si>
    <t xml:space="preserve">Checkbox unchecked. Trạng thái về Active. Hiệu ứng gạch ngang bị gỡ bỏ.</t>
  </si>
  <si>
    <t xml:space="preserve">TC-TOGGLE-03</t>
  </si>
  <si>
    <t xml:space="preserve">Verify trạng thái toggle được lưu đúng vào localStorage</t>
  </si>
  <si>
    <t xml:space="preserve">Danh sách có sẵn 1 task Active.</t>
  </si>
  <si>
    <t xml:space="preserve">1. Click checkbox để Complete.
2. Mở DevTools &gt; Application &gt; Local Storage.
3. Kiểm tra giá trị key lưu trữ.</t>
  </si>
  <si>
    <t xml:space="preserve">Giá trị localStorage của task được cập nhật đúng field trạng thái (completed: true).</t>
  </si>
  <si>
    <t xml:space="preserve">TC-TOGGLE-04</t>
  </si>
  <si>
    <t xml:space="preserve">Toggle nhiều task cùng lúc, verify không ảnh hưởng lẫn nhau</t>
  </si>
  <si>
    <t xml:space="preserve">Danh sách có sẵn 3 task Active: A, B, C.</t>
  </si>
  <si>
    <t xml:space="preserve">1. Click checkbox task A.
2. Click checkbox task C.
3. Quan sát trạng thái cả 3.</t>
  </si>
  <si>
    <t xml:space="preserve">A, C chuyển Completed (strikethrough). B vẫn Active. Không ảnh hưởng sai.</t>
  </si>
  <si>
    <t xml:space="preserve">TC-TOGGLE-05</t>
  </si>
  <si>
    <t xml:space="preserve">Spam click checkbox liên tục trên cùng 1 task</t>
  </si>
  <si>
    <t xml:space="preserve">1. Spam click checkbox nhiều lần nhanh.</t>
  </si>
  <si>
    <t xml:space="preserve">Trạng thái toggle đúng theo số lần click (chẵn=Active, lẻ=Completed). Không giật/lag, không lỗi Console.</t>
  </si>
  <si>
    <t xml:space="preserve">Xóa Task</t>
  </si>
  <si>
    <t xml:space="preserve">TC-DEL-01</t>
  </si>
  <si>
    <t xml:space="preserve">Xóa task duy nhất trong danh sách</t>
  </si>
  <si>
    <t xml:space="preserve">Danh sách chỉ có đúng 1 task 'Task cần xóa'.</t>
  </si>
  <si>
    <t xml:space="preserve">1. Click icon Delete tương ứng.
2. Quan sát danh sách.</t>
  </si>
  <si>
    <t xml:space="preserve">Task biến mất hoàn toàn. Danh sách hiển thị trạng thái rỗng, không lỗi UI.</t>
  </si>
  <si>
    <t xml:space="preserve">TC-DEL-02</t>
  </si>
  <si>
    <t xml:space="preserve">Xóa 1 task giữa danh sách nhiều task</t>
  </si>
  <si>
    <t xml:space="preserve">Danh sách có sẵn 3 task: A, B, C (theo thứ tự).</t>
  </si>
  <si>
    <t xml:space="preserve">1. Click Delete task B (giữa).
2. Quan sát danh sách còn lại.</t>
  </si>
  <si>
    <t xml:space="preserve">Task B biến mất. A và C còn nguyên, đúng thứ tự, không xáo trộn.</t>
  </si>
  <si>
    <t xml:space="preserve">TC-DEL-03</t>
  </si>
  <si>
    <t xml:space="preserve">Verify localStorage cập nhật loại bỏ task ngay sau khi xóa</t>
  </si>
  <si>
    <t xml:space="preserve">Danh sách có sẵn ít nhất 2 task.</t>
  </si>
  <si>
    <t xml:space="preserve">1. Click Delete 1 task.
2. Mở DevTools &gt; Application &gt; Local Storage.
3. Kiểm tra dữ liệu key.</t>
  </si>
  <si>
    <t xml:space="preserve">localStorage không còn chứa task vừa xóa. Task còn lại vẫn đầy đủ, đúng dữ liệu.</t>
  </si>
  <si>
    <t xml:space="preserve">TC-DEL-04</t>
  </si>
  <si>
    <t xml:space="preserve">Xóa task đã ở trạng thái Completed</t>
  </si>
  <si>
    <t xml:space="preserve">Danh sách có sẵn 1 task ở trạng thái Completed.</t>
  </si>
  <si>
    <t xml:space="preserve">1. Click Delete task đã Completed.
2. Quan sát danh sách.</t>
  </si>
  <si>
    <t xml:space="preserve">Task bị xóa hoàn toàn khỏi giao diện và localStorage.</t>
  </si>
  <si>
    <t xml:space="preserve">TC-DEL-05</t>
  </si>
  <si>
    <t xml:space="preserve">Spam click nút Delete liên tục trên cùng 1 task</t>
  </si>
  <si>
    <t xml:space="preserve">Danh sách có sẵn 1 task.</t>
  </si>
  <si>
    <t xml:space="preserve">1. Spam click nút Delete nhiều lần nhanh.</t>
  </si>
  <si>
    <t xml:space="preserve">Task chỉ bị xóa 1 lần, không phát sinh lỗi JS (null reference).</t>
  </si>
  <si>
    <t xml:space="preserve">TC-DEL-06</t>
  </si>
  <si>
    <t xml:space="preserve">Xóa toàn bộ task trong danh sách lần lượt</t>
  </si>
  <si>
    <t xml:space="preserve">Danh sách có sẵn 5 task.</t>
  </si>
  <si>
    <t xml:space="preserve">1. Lần lượt Delete từng task đến khi rỗng.
2. Quan sát UI sau mỗi lần xóa và F5.</t>
  </si>
  <si>
    <t xml:space="preserve">Sau khi xóa hết, danh sách rỗng. Sau F5 vẫn rỗng, localStorage đã cập nhật đúng.</t>
  </si>
  <si>
    <t xml:space="preserve">Bộ lọc</t>
  </si>
  <si>
    <t xml:space="preserve">TC-FILTER-01</t>
  </si>
  <si>
    <t xml:space="preserve">Lọc theo 'Active' chỉ hiển thị task chưa hoàn thành</t>
  </si>
  <si>
    <t xml:space="preserve">Danh sách có 2 task Active, 2 task Completed.</t>
  </si>
  <si>
    <t xml:space="preserve">1. Click bộ lọc 'Active'.
2. Quan sát danh sách.</t>
  </si>
  <si>
    <t xml:space="preserve">Chỉ 2 task Active hiển thị. Task Completed bị ẩn khỏi view (không xóa dữ liệu).</t>
  </si>
  <si>
    <t xml:space="preserve">TC-FILTER-02</t>
  </si>
  <si>
    <t xml:space="preserve">Lọc theo 'Completed' chỉ hiển thị task đã hoàn thành</t>
  </si>
  <si>
    <t xml:space="preserve">1. Click bộ lọc 'Completed'.
2. Quan sát danh sách.</t>
  </si>
  <si>
    <t xml:space="preserve">Chỉ 2 task Completed hiển thị (có strikethrough). Task Active bị ẩn.</t>
  </si>
  <si>
    <t xml:space="preserve">TC-FILTER-03</t>
  </si>
  <si>
    <t xml:space="preserve">Lọc theo 'All' hiển thị toàn bộ task</t>
  </si>
  <si>
    <t xml:space="preserve">Danh sách có 2 task Active, 2 task Completed, đang ở bộ lọc khác 'All'.</t>
  </si>
  <si>
    <t xml:space="preserve">1. Click bộ lọc 'All'.
2. Quan sát danh sách.</t>
  </si>
  <si>
    <t xml:space="preserve">Toàn bộ 4 task hiển thị, đúng trạng thái từng task.</t>
  </si>
  <si>
    <t xml:space="preserve">TC-FILTER-04</t>
  </si>
  <si>
    <t xml:space="preserve">Thêm task mới khi đang ở bộ lọc 'Active'</t>
  </si>
  <si>
    <t xml:space="preserve">Bộ lọc hiện tại 'Active', có task Active và Completed.</t>
  </si>
  <si>
    <t xml:space="preserve">1. Đảm bảo filter 'Active'.
2. Thêm 1 task mới hợp lệ.
3. Quan sát danh sách.</t>
  </si>
  <si>
    <t xml:space="preserve">Task mới xuất hiện ngay vì mặc định Active, phù hợp filter hiện tại.</t>
  </si>
  <si>
    <t xml:space="preserve">TC-FILTER-05</t>
  </si>
  <si>
    <t xml:space="preserve">Toggle task khi đang ở bộ lọc 'Active' – task biến mất khỏi view</t>
  </si>
  <si>
    <t xml:space="preserve">Filter 'Active', có ít nhất 1 task Active hiển thị.</t>
  </si>
  <si>
    <t xml:space="preserve">1. Đảm bảo filter 'Active'.
2. Click checkbox hoàn thành 1 task đang hiển thị.
3. Quan sát danh sách.</t>
  </si>
  <si>
    <t xml:space="preserve">Task vừa Complete biến mất khỏi view ngay (real-time, không cần F5).</t>
  </si>
  <si>
    <t xml:space="preserve">TC-FILTER-06</t>
  </si>
  <si>
    <t xml:space="preserve">Xóa task khi đang ở bộ lọc 'Completed'</t>
  </si>
  <si>
    <t xml:space="preserve">Filter 'Completed', có ít nhất 1 task Completed hiển thị.</t>
  </si>
  <si>
    <t xml:space="preserve">1. Đảm bảo filter 'Completed'.
2. Click Delete 1 task đang hiển thị.
3. Quan sát danh sách.</t>
  </si>
  <si>
    <t xml:space="preserve">Task bị xóa ngay khỏi view và localStorage, filter vẫn đúng.</t>
  </si>
  <si>
    <t xml:space="preserve">TC-FILTER-07</t>
  </si>
  <si>
    <t xml:space="preserve">Lọc khi danh sách task rỗng (Empty State)</t>
  </si>
  <si>
    <t xml:space="preserve">Danh sách task hiện đang rỗng.</t>
  </si>
  <si>
    <t xml:space="preserve">1. Lần lượt click 'All', 'Active', 'Completed'.
2. Quan sát giao diện.</t>
  </si>
  <si>
    <t xml:space="preserve">Cả 3 filter hiển thị trạng thái rỗng hợp lý, không lỗi JS.</t>
  </si>
  <si>
    <t xml:space="preserve">TC-FILTER-08</t>
  </si>
  <si>
    <t xml:space="preserve">Refresh trang (F5) khi đang ở bộ lọc khác 'All'</t>
  </si>
  <si>
    <t xml:space="preserve">Filter hiện tại 'Active' hoặc 'Completed'.</t>
  </si>
  <si>
    <t xml:space="preserve">1. Chọn filter 'Active'.
2. Nhấn F5.
3. Quan sát filter và danh sách sau khi tải lại.</t>
  </si>
  <si>
    <t xml:space="preserve">Không lỗi. Filter reset về 'All' hoặc giữ nguyên tùy thiết kế, hành vi nhất quán.</t>
  </si>
  <si>
    <t xml:space="preserve">Performance</t>
  </si>
  <si>
    <t xml:space="preserve">TC-PERF-01</t>
  </si>
  <si>
    <t xml:space="preserve">Đo thời gian tải trang (Load Time) dưới 1 giây</t>
  </si>
  <si>
    <t xml:space="preserve">Trình duyệt đã đóng hết tab liên quan.</t>
  </si>
  <si>
    <t xml:space="preserve">1. Mở DevTools &gt; Network.
2. Tick 'Disable cache'.
3. Hard Refresh (Ctrl+Shift+R).
4. Ghi nhận thời gian Load/DOMContentLoaded.</t>
  </si>
  <si>
    <t xml:space="preserve">Thời gian Load trang dưới 1 giây (&lt; 1000ms).</t>
  </si>
  <si>
    <t xml:space="preserve">TC-PERF-02</t>
  </si>
  <si>
    <t xml:space="preserve">Đo chỉ số First Contentful Paint (FCP) qua Lighthouse</t>
  </si>
  <si>
    <t xml:space="preserve">Chrome, ứng dụng đã deploy hoặc chạy local server.</t>
  </si>
  <si>
    <t xml:space="preserve">1. Mở DevTools &gt; Lighthouse.
2. Chọn Performance, Device: Desktop.
3. Run Analyze.
4. Ghi nhận FCP.</t>
  </si>
  <si>
    <t xml:space="preserve">FCP đạt ngưỡng 'Good' theo Lighthouse (thường &lt; 1.8s).</t>
  </si>
  <si>
    <t xml:space="preserve">TC-PERF-03</t>
  </si>
  <si>
    <t xml:space="preserve">Đo thời gian phản hồi UI khi thao tác với danh sách lớn</t>
  </si>
  <si>
    <t xml:space="preserve">Danh sách đã có sẵn 100+ task.</t>
  </si>
  <si>
    <t xml:space="preserve">1. Tải trang với 100+ task.
2. Thao tác Add/Delete/Toggle 1 task.
3. Quan sát độ trễ phản hồi.</t>
  </si>
  <si>
    <t xml:space="preserve">UI phản hồi mượt (&lt; 300ms), không treo trình duyệt.</t>
  </si>
  <si>
    <t xml:space="preserve">Lưu trữ dữ liệu</t>
  </si>
  <si>
    <t xml:space="preserve">TC-STORE-01</t>
  </si>
  <si>
    <t xml:space="preserve">Dữ liệu task giữ nguyên sau khi Refresh (F5)</t>
  </si>
  <si>
    <t xml:space="preserve">Danh sách có sẵn ít nhất 3 task, trạng thái khác nhau.</t>
  </si>
  <si>
    <t xml:space="preserve">1. Ghi nhận danh sách hiện tại.
2. Nhấn F5.
3. So sánh sau khi tải lại.</t>
  </si>
  <si>
    <t xml:space="preserve">Toàn bộ task và trạng thái giữ nguyên, không mất dữ liệu, không đảo thứ tự.</t>
  </si>
  <si>
    <t xml:space="preserve">TC-STORE-02</t>
  </si>
  <si>
    <t xml:space="preserve">Dữ liệu task giữ nguyên sau khi đóng/mở lại Tab hoặc trình duyệt</t>
  </si>
  <si>
    <t xml:space="preserve">1. Ghi nhận danh sách.
2. Đóng tab/trình duyệt.
3. Mở lại và truy cập URL.
4. So sánh danh sách.</t>
  </si>
  <si>
    <t xml:space="preserve">Dữ liệu khôi phục đầy đủ, chính xác từ localStorage.</t>
  </si>
  <si>
    <t xml:space="preserve">TC-STORE-03</t>
  </si>
  <si>
    <t xml:space="preserve">[Edge Case] Ứng dụng xử lý an toàn khi localStorage bị xóa thủ công</t>
  </si>
  <si>
    <t xml:space="preserve">Danh sách đã có sẵn task.</t>
  </si>
  <si>
    <t xml:space="preserve">1. Mở DevTools &gt; Application &gt; Local Storage.
2. Xóa thủ công key lưu trữ.
3. F5.
4. Quan sát giao diện và Console.</t>
  </si>
  <si>
    <t xml:space="preserve">Hiển thị danh sách rỗng an toàn, KHÔNG crash JS, không lỗi Console.</t>
  </si>
  <si>
    <t xml:space="preserve">TC-STORE-04</t>
  </si>
  <si>
    <t xml:space="preserve">[Edge Case] Dữ liệu localStorage bị hỏng định dạng (corrupted JSON)</t>
  </si>
  <si>
    <t xml:space="preserve">Danh sách đã có sẵn task trong localStorage.</t>
  </si>
  <si>
    <t xml:space="preserve">1. Mở Console.
2. Ghi đè giá trị key thành JSON không hợp lệ.
3. F5.
4. Quan sát giao diện và Console.</t>
  </si>
  <si>
    <t xml:space="preserve">Không crash trắng trang. Có try/catch, hiển thị rỗng hoặc thông báo lỗi thân thiện.</t>
  </si>
  <si>
    <t xml:space="preserve">TC-STORE-05</t>
  </si>
  <si>
    <t xml:space="preserve">Verify dữ liệu localStorage cập nhật đúng ngay sau khi Add task</t>
  </si>
  <si>
    <t xml:space="preserve">Ô input trống, danh sách hiện tại đã biết trước.</t>
  </si>
  <si>
    <t xml:space="preserve">1. Thêm 1 task mới hợp lệ.
2. Mở DevTools &gt; Local Storage ngay sau đó.
3. Kiểm tra dữ liệu.</t>
  </si>
  <si>
    <t xml:space="preserve">Task mới xuất hiện ngay trong localStorage đầy đủ thông tin, không cần F5.</t>
  </si>
  <si>
    <t xml:space="preserve">TC-STORE-06</t>
  </si>
  <si>
    <t xml:space="preserve">Refresh liên tục nhiều lần (F5 spam) không làm mất/nhân đôi dữ liệu</t>
  </si>
  <si>
    <t xml:space="preserve">Danh sách đã có sẵn 3 task.</t>
  </si>
  <si>
    <t xml:space="preserve">1. Nhấn F5 liên tục 5-10 lần nhanh.
2. Quan sát danh sách sau khi dừng.</t>
  </si>
  <si>
    <t xml:space="preserve">Vẫn đúng 3 task, không nhân đôi, không mất dữ liệu, không có task rác.</t>
  </si>
  <si>
    <t xml:space="preserve">Cross-Browser</t>
  </si>
  <si>
    <t xml:space="preserve">TC-XBR-01</t>
  </si>
  <si>
    <t xml:space="preserve">Kiểm thử toàn bộ luồng CRUD trên Firefox</t>
  </si>
  <si>
    <t xml:space="preserve">Firefox phiên bản mới nhất đã cài đặt.</t>
  </si>
  <si>
    <t xml:space="preserve">1. Truy cập ứng dụng trên Firefox.
2. Thực hiện Add/Toggle/Delete/Filter.
3. Refresh và kiểm tra persistence.</t>
  </si>
  <si>
    <t xml:space="preserve">Toàn bộ chức năng hoạt động đúng như Chrome, không vỡ layout, localStorage bình thường.</t>
  </si>
  <si>
    <t xml:space="preserve">TC-XBR-02</t>
  </si>
  <si>
    <t xml:space="preserve">Kiểm thử toàn bộ luồng CRUD trên Safari</t>
  </si>
  <si>
    <t xml:space="preserve">Safari phiên bản mới nhất (macOS) đã cài đặt.</t>
  </si>
  <si>
    <t xml:space="preserve">1. Truy cập ứng dụng trên Safari.
2. Thực hiện Add/Toggle/Delete/Filter.
3. Refresh và kiểm tra persistence.</t>
  </si>
  <si>
    <t xml:space="preserve">TC-XBR-03</t>
  </si>
  <si>
    <t xml:space="preserve">Kiểm thử giao diện responsive trên viewport Mobile</t>
  </si>
  <si>
    <t xml:space="preserve">DevTools mở sẵn Device Toolbar (iPhone 12 Pro).</t>
  </si>
  <si>
    <t xml:space="preserve">1. Mở Device Toolbar, chọn iPhone 12 Pro.
2. Thực hiện Add/Toggle/Delete.
3. Quan sát layout, tap target.</t>
  </si>
  <si>
    <t xml:space="preserve">Giao diện đúng, không vỡ layout. Nút đủ lớn để chạm (~44px), không chồng lấn.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</si>
</sst>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4587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  <fill>
      <patternFill patternType="solid">
        <fgColor rgb="FFD9D9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C458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C458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5" min="3" style="0" width="1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15" hidden="false" customHeight="true" outlineLevel="0" collapsed="false">
      <c r="A1" s="1" t="s">
        <v>0</v>
      </c>
      <c r="B1" s="1"/>
      <c r="F1" s="2" t="s">
        <v>0</v>
      </c>
      <c r="G1" s="3" t="s">
        <v>1</v>
      </c>
      <c r="I1" s="2" t="s">
        <v>2</v>
      </c>
      <c r="J1" s="2" t="s">
        <v>3</v>
      </c>
    </row>
    <row r="2" customFormat="false" ht="15" hidden="false" customHeight="false" outlineLevel="0" collapsed="false">
      <c r="F2" s="2" t="s">
        <v>4</v>
      </c>
      <c r="G2" s="4"/>
      <c r="I2" s="5" t="s">
        <v>5</v>
      </c>
      <c r="J2" s="3" t="n">
        <v>20</v>
      </c>
    </row>
    <row r="3" customFormat="false" ht="15" hidden="false" customHeight="false" outlineLevel="0" collapsed="false">
      <c r="F3" s="2" t="s">
        <v>6</v>
      </c>
      <c r="G3" s="3" t="s">
        <v>7</v>
      </c>
      <c r="I3" s="6" t="s">
        <v>8</v>
      </c>
      <c r="J3" s="3" t="n">
        <v>15</v>
      </c>
    </row>
    <row r="4" customFormat="false" ht="15" hidden="false" customHeight="false" outlineLevel="0" collapsed="false">
      <c r="F4" s="2" t="s">
        <v>9</v>
      </c>
      <c r="G4" s="4"/>
      <c r="I4" s="7" t="s">
        <v>10</v>
      </c>
      <c r="J4" s="3" t="n">
        <v>7</v>
      </c>
    </row>
    <row r="6" customFormat="false" ht="26.85" hidden="false" customHeight="true" outlineLevel="0" collapsed="false">
      <c r="A6" s="8" t="s">
        <v>11</v>
      </c>
      <c r="B6" s="8" t="s">
        <v>12</v>
      </c>
      <c r="C6" s="9" t="s">
        <v>13</v>
      </c>
      <c r="D6" s="9"/>
      <c r="E6" s="9"/>
      <c r="F6" s="8" t="s">
        <v>14</v>
      </c>
      <c r="G6" s="8" t="s">
        <v>15</v>
      </c>
      <c r="H6" s="8" t="s">
        <v>16</v>
      </c>
    </row>
    <row r="7" customFormat="false" ht="15" hidden="false" customHeight="false" outlineLevel="0" collapsed="false">
      <c r="C7" s="10" t="s">
        <v>17</v>
      </c>
      <c r="D7" s="10" t="s">
        <v>18</v>
      </c>
      <c r="E7" s="10" t="s">
        <v>19</v>
      </c>
    </row>
    <row r="8" customFormat="false" ht="15" hidden="false" customHeight="false" outlineLevel="0" collapsed="false">
      <c r="A8" s="3" t="s">
        <v>20</v>
      </c>
      <c r="B8" s="11" t="s">
        <v>19</v>
      </c>
      <c r="C8" s="12" t="n">
        <f aca="false">'Thêm Task'!B2</f>
        <v>0</v>
      </c>
      <c r="D8" s="12" t="n">
        <f aca="false">'Thêm Task'!B3</f>
        <v>0</v>
      </c>
      <c r="E8" s="12" t="n">
        <f aca="false">'Thêm Task'!B4</f>
        <v>11</v>
      </c>
      <c r="F8" s="12" t="n">
        <f aca="false">'Thêm Task'!B5</f>
        <v>11</v>
      </c>
      <c r="G8" s="13" t="n">
        <f aca="false">IFERROR((D8+C8)/F8,0)</f>
        <v>0</v>
      </c>
      <c r="H8" s="13" t="n">
        <f aca="false">IFERROR(C8/(C8+D8),0)</f>
        <v>0</v>
      </c>
    </row>
    <row r="9" customFormat="false" ht="15" hidden="false" customHeight="false" outlineLevel="0" collapsed="false">
      <c r="A9" s="3" t="s">
        <v>21</v>
      </c>
      <c r="B9" s="11" t="s">
        <v>19</v>
      </c>
      <c r="C9" s="12" t="n">
        <f aca="false">'Toggle Task'!B2</f>
        <v>0</v>
      </c>
      <c r="D9" s="12" t="n">
        <f aca="false">'Toggle Task'!B3</f>
        <v>0</v>
      </c>
      <c r="E9" s="12" t="n">
        <f aca="false">'Toggle Task'!B4</f>
        <v>5</v>
      </c>
      <c r="F9" s="12" t="n">
        <f aca="false">'Toggle Task'!B5</f>
        <v>5</v>
      </c>
      <c r="G9" s="13" t="n">
        <f aca="false">IFERROR((D9+C9)/F9,0)</f>
        <v>0</v>
      </c>
      <c r="H9" s="13" t="n">
        <f aca="false">IFERROR(C9/(C9+D9),0)</f>
        <v>0</v>
      </c>
    </row>
    <row r="10" customFormat="false" ht="15" hidden="false" customHeight="false" outlineLevel="0" collapsed="false">
      <c r="A10" s="3" t="s">
        <v>22</v>
      </c>
      <c r="B10" s="11" t="s">
        <v>19</v>
      </c>
      <c r="C10" s="12" t="n">
        <f aca="false">'Xóa Task'!B2</f>
        <v>0</v>
      </c>
      <c r="D10" s="12" t="n">
        <f aca="false">'Xóa Task'!B3</f>
        <v>0</v>
      </c>
      <c r="E10" s="12" t="n">
        <f aca="false">'Xóa Task'!B4</f>
        <v>6</v>
      </c>
      <c r="F10" s="12" t="n">
        <f aca="false">'Xóa Task'!B5</f>
        <v>6</v>
      </c>
      <c r="G10" s="13" t="n">
        <f aca="false">IFERROR((D10+C10)/F10,0)</f>
        <v>0</v>
      </c>
      <c r="H10" s="13" t="n">
        <f aca="false">IFERROR(C10/(C10+D10),0)</f>
        <v>0</v>
      </c>
    </row>
    <row r="11" customFormat="false" ht="15" hidden="false" customHeight="false" outlineLevel="0" collapsed="false">
      <c r="A11" s="3" t="s">
        <v>23</v>
      </c>
      <c r="B11" s="11" t="s">
        <v>19</v>
      </c>
      <c r="C11" s="12" t="n">
        <f aca="false">'Bộ lọc'!B2</f>
        <v>0</v>
      </c>
      <c r="D11" s="12" t="n">
        <f aca="false">'Bộ lọc'!B3</f>
        <v>0</v>
      </c>
      <c r="E11" s="12" t="n">
        <f aca="false">'Bộ lọc'!B4</f>
        <v>8</v>
      </c>
      <c r="F11" s="12" t="n">
        <f aca="false">'Bộ lọc'!B5</f>
        <v>8</v>
      </c>
      <c r="G11" s="13" t="n">
        <f aca="false">IFERROR((D11+C11)/F11,0)</f>
        <v>0</v>
      </c>
      <c r="H11" s="13" t="n">
        <f aca="false">IFERROR(C11/(C11+D11),0)</f>
        <v>0</v>
      </c>
    </row>
    <row r="12" customFormat="false" ht="15" hidden="false" customHeight="false" outlineLevel="0" collapsed="false">
      <c r="A12" s="3" t="s">
        <v>24</v>
      </c>
      <c r="B12" s="11" t="s">
        <v>19</v>
      </c>
      <c r="C12" s="12" t="n">
        <f aca="false">Performance!B2</f>
        <v>0</v>
      </c>
      <c r="D12" s="12" t="n">
        <f aca="false">Performance!B3</f>
        <v>0</v>
      </c>
      <c r="E12" s="12" t="n">
        <f aca="false">Performance!B4</f>
        <v>3</v>
      </c>
      <c r="F12" s="12" t="n">
        <f aca="false">Performance!B5</f>
        <v>3</v>
      </c>
      <c r="G12" s="13" t="n">
        <f aca="false">IFERROR((D12+C12)/F12,0)</f>
        <v>0</v>
      </c>
      <c r="H12" s="13" t="n">
        <f aca="false">IFERROR(C12/(C12+D12),0)</f>
        <v>0</v>
      </c>
    </row>
    <row r="13" customFormat="false" ht="15" hidden="false" customHeight="false" outlineLevel="0" collapsed="false">
      <c r="A13" s="3" t="s">
        <v>25</v>
      </c>
      <c r="B13" s="11" t="s">
        <v>19</v>
      </c>
      <c r="C13" s="12" t="n">
        <f aca="false">'Lưu trữ dữ liệu'!B2</f>
        <v>0</v>
      </c>
      <c r="D13" s="12" t="n">
        <f aca="false">'Lưu trữ dữ liệu'!B3</f>
        <v>0</v>
      </c>
      <c r="E13" s="12" t="n">
        <f aca="false">'Lưu trữ dữ liệu'!B4</f>
        <v>6</v>
      </c>
      <c r="F13" s="12" t="n">
        <f aca="false">'Lưu trữ dữ liệu'!B5</f>
        <v>6</v>
      </c>
      <c r="G13" s="13" t="n">
        <f aca="false">IFERROR((D13+C13)/F13,0)</f>
        <v>0</v>
      </c>
      <c r="H13" s="13" t="n">
        <f aca="false">IFERROR(C13/(C13+D13),0)</f>
        <v>0</v>
      </c>
    </row>
    <row r="14" customFormat="false" ht="15" hidden="false" customHeight="false" outlineLevel="0" collapsed="false">
      <c r="A14" s="3" t="s">
        <v>26</v>
      </c>
      <c r="B14" s="11" t="s">
        <v>19</v>
      </c>
      <c r="C14" s="12" t="n">
        <f aca="false">'Cross-Browser'!B2</f>
        <v>0</v>
      </c>
      <c r="D14" s="12" t="n">
        <f aca="false">'Cross-Browser'!B3</f>
        <v>0</v>
      </c>
      <c r="E14" s="12" t="n">
        <f aca="false">'Cross-Browser'!B4</f>
        <v>3</v>
      </c>
      <c r="F14" s="12" t="n">
        <f aca="false">'Cross-Browser'!B5</f>
        <v>3</v>
      </c>
      <c r="G14" s="13" t="n">
        <f aca="false">IFERROR((D14+C14)/F14,0)</f>
        <v>0</v>
      </c>
      <c r="H14" s="13" t="n">
        <f aca="false">IFERROR(C14/(C14+D14),0)</f>
        <v>0</v>
      </c>
    </row>
    <row r="15" customFormat="false" ht="15" hidden="false" customHeight="false" outlineLevel="0" collapsed="false">
      <c r="A15" s="14" t="s">
        <v>27</v>
      </c>
      <c r="C15" s="15" t="n">
        <f aca="false">SUM(C8:C14)</f>
        <v>0</v>
      </c>
      <c r="D15" s="15" t="n">
        <f aca="false">SUM(D8:D14)</f>
        <v>0</v>
      </c>
      <c r="E15" s="15" t="n">
        <f aca="false">SUM(E8:E14)</f>
        <v>42</v>
      </c>
      <c r="F15" s="15" t="n">
        <f aca="false">SUM(F8:F14)</f>
        <v>42</v>
      </c>
      <c r="G15" s="16" t="n">
        <f aca="false">IFERROR((D15+C15)/F15,0)</f>
        <v>0</v>
      </c>
      <c r="H15" s="16" t="n">
        <f aca="false">IFERROR(C15/(C15+D15),0)</f>
        <v>0</v>
      </c>
    </row>
  </sheetData>
  <mergeCells count="2">
    <mergeCell ref="A1:B1"/>
    <mergeCell ref="C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7" t="s">
        <v>28</v>
      </c>
      <c r="B1" s="17"/>
      <c r="D1" s="2" t="s">
        <v>0</v>
      </c>
      <c r="E1" s="3" t="s">
        <v>29</v>
      </c>
    </row>
    <row r="2" customFormat="false" ht="15" hidden="false" customHeight="false" outlineLevel="0" collapsed="false">
      <c r="A2" s="18" t="s">
        <v>17</v>
      </c>
      <c r="B2" s="3" t="n">
        <f aca="false">COUNTIF(G9:G19,"Pass")</f>
        <v>0</v>
      </c>
      <c r="D2" s="2" t="s">
        <v>11</v>
      </c>
      <c r="E2" s="3" t="s">
        <v>30</v>
      </c>
    </row>
    <row r="3" customFormat="false" ht="15" hidden="false" customHeight="false" outlineLevel="0" collapsed="false">
      <c r="A3" s="18" t="s">
        <v>18</v>
      </c>
      <c r="B3" s="3" t="n">
        <f aca="false">COUNTIF(G9:G19,"Fail")</f>
        <v>0</v>
      </c>
      <c r="D3" s="2" t="s">
        <v>2</v>
      </c>
      <c r="E3" s="3"/>
    </row>
    <row r="4" customFormat="false" ht="15" hidden="false" customHeight="false" outlineLevel="0" collapsed="false">
      <c r="A4" s="18" t="s">
        <v>19</v>
      </c>
      <c r="B4" s="3" t="n">
        <f aca="false">COUNTIF(G9:G19,"N/T")</f>
        <v>11</v>
      </c>
      <c r="D4" s="2" t="s">
        <v>6</v>
      </c>
      <c r="E4" s="3" t="s">
        <v>7</v>
      </c>
    </row>
    <row r="5" customFormat="false" ht="15" hidden="false" customHeight="false" outlineLevel="0" collapsed="false">
      <c r="A5" s="19" t="s">
        <v>31</v>
      </c>
      <c r="B5" s="3" t="n">
        <f aca="false">SUM(B2:B4)</f>
        <v>11</v>
      </c>
      <c r="D5" s="2" t="s">
        <v>32</v>
      </c>
      <c r="E5" s="3"/>
    </row>
    <row r="7" customFormat="false" ht="21.75" hidden="false" customHeight="true" outlineLevel="0" collapsed="false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28</v>
      </c>
      <c r="H7" s="8" t="s">
        <v>39</v>
      </c>
      <c r="I7" s="8" t="s">
        <v>40</v>
      </c>
    </row>
    <row r="9" customFormat="false" ht="35.05" hidden="false" customHeight="false" outlineLevel="0" collapsed="false">
      <c r="A9" s="20" t="s">
        <v>41</v>
      </c>
      <c r="B9" s="21" t="s">
        <v>42</v>
      </c>
      <c r="C9" s="21" t="s">
        <v>43</v>
      </c>
      <c r="D9" s="21" t="s">
        <v>44</v>
      </c>
      <c r="E9" s="21" t="s">
        <v>45</v>
      </c>
      <c r="F9" s="21"/>
      <c r="G9" s="22" t="s">
        <v>19</v>
      </c>
      <c r="H9" s="21"/>
      <c r="I9" s="21"/>
    </row>
    <row r="10" customFormat="false" ht="35.05" hidden="false" customHeight="false" outlineLevel="0" collapsed="false">
      <c r="A10" s="20" t="s">
        <v>46</v>
      </c>
      <c r="B10" s="21" t="s">
        <v>47</v>
      </c>
      <c r="C10" s="21" t="s">
        <v>43</v>
      </c>
      <c r="D10" s="21" t="s">
        <v>48</v>
      </c>
      <c r="E10" s="21" t="s">
        <v>49</v>
      </c>
      <c r="F10" s="21"/>
      <c r="G10" s="22" t="s">
        <v>19</v>
      </c>
      <c r="H10" s="21"/>
      <c r="I10" s="21"/>
    </row>
    <row r="11" customFormat="false" ht="23.85" hidden="false" customHeight="false" outlineLevel="0" collapsed="false">
      <c r="A11" s="20" t="s">
        <v>50</v>
      </c>
      <c r="B11" s="21" t="s">
        <v>51</v>
      </c>
      <c r="C11" s="21" t="s">
        <v>52</v>
      </c>
      <c r="D11" s="21" t="s">
        <v>53</v>
      </c>
      <c r="E11" s="21" t="s">
        <v>54</v>
      </c>
      <c r="F11" s="21"/>
      <c r="G11" s="22" t="s">
        <v>19</v>
      </c>
      <c r="H11" s="21"/>
      <c r="I11" s="21"/>
    </row>
    <row r="12" customFormat="false" ht="23.85" hidden="false" customHeight="false" outlineLevel="0" collapsed="false">
      <c r="A12" s="20" t="s">
        <v>55</v>
      </c>
      <c r="B12" s="21" t="s">
        <v>56</v>
      </c>
      <c r="C12" s="21" t="s">
        <v>52</v>
      </c>
      <c r="D12" s="21" t="s">
        <v>57</v>
      </c>
      <c r="E12" s="21" t="s">
        <v>58</v>
      </c>
      <c r="F12" s="21"/>
      <c r="G12" s="22" t="s">
        <v>19</v>
      </c>
      <c r="H12" s="21"/>
      <c r="I12" s="21"/>
    </row>
    <row r="13" customFormat="false" ht="23.85" hidden="false" customHeight="false" outlineLevel="0" collapsed="false">
      <c r="A13" s="20" t="s">
        <v>59</v>
      </c>
      <c r="B13" s="21" t="s">
        <v>60</v>
      </c>
      <c r="C13" s="21" t="s">
        <v>52</v>
      </c>
      <c r="D13" s="21" t="s">
        <v>61</v>
      </c>
      <c r="E13" s="21" t="s">
        <v>62</v>
      </c>
      <c r="F13" s="21"/>
      <c r="G13" s="22" t="s">
        <v>19</v>
      </c>
      <c r="H13" s="21"/>
      <c r="I13" s="21"/>
    </row>
    <row r="14" customFormat="false" ht="35.05" hidden="false" customHeight="false" outlineLevel="0" collapsed="false">
      <c r="A14" s="20" t="s">
        <v>63</v>
      </c>
      <c r="B14" s="21" t="s">
        <v>64</v>
      </c>
      <c r="C14" s="21" t="s">
        <v>52</v>
      </c>
      <c r="D14" s="21" t="s">
        <v>65</v>
      </c>
      <c r="E14" s="21" t="s">
        <v>66</v>
      </c>
      <c r="F14" s="21"/>
      <c r="G14" s="22" t="s">
        <v>19</v>
      </c>
      <c r="H14" s="21"/>
      <c r="I14" s="21"/>
    </row>
    <row r="15" customFormat="false" ht="23.85" hidden="false" customHeight="false" outlineLevel="0" collapsed="false">
      <c r="A15" s="20" t="s">
        <v>67</v>
      </c>
      <c r="B15" s="21" t="s">
        <v>68</v>
      </c>
      <c r="C15" s="21" t="s">
        <v>52</v>
      </c>
      <c r="D15" s="21" t="s">
        <v>69</v>
      </c>
      <c r="E15" s="21" t="s">
        <v>70</v>
      </c>
      <c r="F15" s="21"/>
      <c r="G15" s="22" t="s">
        <v>19</v>
      </c>
      <c r="H15" s="21"/>
      <c r="I15" s="21"/>
    </row>
    <row r="16" customFormat="false" ht="35.05" hidden="false" customHeight="false" outlineLevel="0" collapsed="false">
      <c r="A16" s="20" t="s">
        <v>71</v>
      </c>
      <c r="B16" s="21" t="s">
        <v>72</v>
      </c>
      <c r="C16" s="21" t="s">
        <v>52</v>
      </c>
      <c r="D16" s="21" t="s">
        <v>73</v>
      </c>
      <c r="E16" s="21" t="s">
        <v>74</v>
      </c>
      <c r="F16" s="21"/>
      <c r="G16" s="22" t="s">
        <v>19</v>
      </c>
      <c r="H16" s="21"/>
      <c r="I16" s="21"/>
    </row>
    <row r="17" customFormat="false" ht="23.85" hidden="false" customHeight="false" outlineLevel="0" collapsed="false">
      <c r="A17" s="20" t="s">
        <v>75</v>
      </c>
      <c r="B17" s="21" t="s">
        <v>76</v>
      </c>
      <c r="C17" s="21" t="s">
        <v>52</v>
      </c>
      <c r="D17" s="21" t="s">
        <v>77</v>
      </c>
      <c r="E17" s="21" t="s">
        <v>78</v>
      </c>
      <c r="F17" s="21"/>
      <c r="G17" s="22" t="s">
        <v>19</v>
      </c>
      <c r="H17" s="21"/>
      <c r="I17" s="21"/>
    </row>
    <row r="18" customFormat="false" ht="23.85" hidden="false" customHeight="false" outlineLevel="0" collapsed="false">
      <c r="A18" s="20" t="s">
        <v>79</v>
      </c>
      <c r="B18" s="21" t="s">
        <v>80</v>
      </c>
      <c r="C18" s="21" t="s">
        <v>52</v>
      </c>
      <c r="D18" s="21" t="s">
        <v>81</v>
      </c>
      <c r="E18" s="21" t="s">
        <v>82</v>
      </c>
      <c r="F18" s="21"/>
      <c r="G18" s="22" t="s">
        <v>19</v>
      </c>
      <c r="H18" s="21"/>
      <c r="I18" s="21"/>
    </row>
    <row r="19" customFormat="false" ht="23.85" hidden="false" customHeight="false" outlineLevel="0" collapsed="false">
      <c r="A19" s="20" t="s">
        <v>83</v>
      </c>
      <c r="B19" s="21" t="s">
        <v>84</v>
      </c>
      <c r="C19" s="21" t="s">
        <v>85</v>
      </c>
      <c r="D19" s="21" t="s">
        <v>86</v>
      </c>
      <c r="E19" s="21" t="s">
        <v>87</v>
      </c>
      <c r="F19" s="21"/>
      <c r="G19" s="22" t="s">
        <v>19</v>
      </c>
      <c r="H19" s="21"/>
      <c r="I19" s="21"/>
    </row>
  </sheetData>
  <autoFilter ref="A7:I19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7" t="s">
        <v>28</v>
      </c>
      <c r="B1" s="17"/>
      <c r="D1" s="2" t="s">
        <v>0</v>
      </c>
      <c r="E1" s="3" t="s">
        <v>29</v>
      </c>
    </row>
    <row r="2" customFormat="false" ht="15" hidden="false" customHeight="false" outlineLevel="0" collapsed="false">
      <c r="A2" s="18" t="s">
        <v>17</v>
      </c>
      <c r="B2" s="3" t="n">
        <f aca="false">COUNTIF(G9:G13,"Pass")</f>
        <v>0</v>
      </c>
      <c r="D2" s="2" t="s">
        <v>11</v>
      </c>
      <c r="E2" s="3" t="s">
        <v>88</v>
      </c>
    </row>
    <row r="3" customFormat="false" ht="15" hidden="false" customHeight="false" outlineLevel="0" collapsed="false">
      <c r="A3" s="18" t="s">
        <v>18</v>
      </c>
      <c r="B3" s="3" t="n">
        <f aca="false">COUNTIF(G9:G13,"Fail")</f>
        <v>0</v>
      </c>
      <c r="D3" s="2" t="s">
        <v>2</v>
      </c>
      <c r="E3" s="3"/>
    </row>
    <row r="4" customFormat="false" ht="15" hidden="false" customHeight="false" outlineLevel="0" collapsed="false">
      <c r="A4" s="18" t="s">
        <v>19</v>
      </c>
      <c r="B4" s="3" t="n">
        <f aca="false">COUNTIF(G9:G13,"N/T")</f>
        <v>5</v>
      </c>
      <c r="D4" s="2" t="s">
        <v>6</v>
      </c>
      <c r="E4" s="3" t="s">
        <v>7</v>
      </c>
    </row>
    <row r="5" customFormat="false" ht="15" hidden="false" customHeight="false" outlineLevel="0" collapsed="false">
      <c r="A5" s="19" t="s">
        <v>31</v>
      </c>
      <c r="B5" s="3" t="n">
        <f aca="false">SUM(B2:B4)</f>
        <v>5</v>
      </c>
      <c r="D5" s="2" t="s">
        <v>32</v>
      </c>
      <c r="E5" s="3"/>
    </row>
    <row r="7" customFormat="false" ht="21.75" hidden="false" customHeight="true" outlineLevel="0" collapsed="false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28</v>
      </c>
      <c r="H7" s="8" t="s">
        <v>39</v>
      </c>
      <c r="I7" s="8" t="s">
        <v>40</v>
      </c>
    </row>
    <row r="9" customFormat="false" ht="23.85" hidden="false" customHeight="false" outlineLevel="0" collapsed="false">
      <c r="A9" s="20" t="s">
        <v>89</v>
      </c>
      <c r="B9" s="21" t="s">
        <v>90</v>
      </c>
      <c r="C9" s="21" t="s">
        <v>91</v>
      </c>
      <c r="D9" s="21" t="s">
        <v>92</v>
      </c>
      <c r="E9" s="21" t="s">
        <v>93</v>
      </c>
      <c r="F9" s="21"/>
      <c r="G9" s="22" t="s">
        <v>19</v>
      </c>
      <c r="H9" s="21"/>
      <c r="I9" s="21"/>
    </row>
    <row r="10" customFormat="false" ht="35.05" hidden="false" customHeight="false" outlineLevel="0" collapsed="false">
      <c r="A10" s="20" t="s">
        <v>94</v>
      </c>
      <c r="B10" s="21" t="s">
        <v>95</v>
      </c>
      <c r="C10" s="21" t="s">
        <v>96</v>
      </c>
      <c r="D10" s="21" t="s">
        <v>97</v>
      </c>
      <c r="E10" s="21" t="s">
        <v>98</v>
      </c>
      <c r="F10" s="21"/>
      <c r="G10" s="22" t="s">
        <v>19</v>
      </c>
      <c r="H10" s="21"/>
      <c r="I10" s="21"/>
    </row>
    <row r="11" customFormat="false" ht="35.05" hidden="false" customHeight="false" outlineLevel="0" collapsed="false">
      <c r="A11" s="20" t="s">
        <v>99</v>
      </c>
      <c r="B11" s="21" t="s">
        <v>100</v>
      </c>
      <c r="C11" s="21" t="s">
        <v>101</v>
      </c>
      <c r="D11" s="21" t="s">
        <v>102</v>
      </c>
      <c r="E11" s="21" t="s">
        <v>103</v>
      </c>
      <c r="F11" s="21"/>
      <c r="G11" s="22" t="s">
        <v>19</v>
      </c>
      <c r="H11" s="21"/>
      <c r="I11" s="21"/>
    </row>
    <row r="12" customFormat="false" ht="35.05" hidden="false" customHeight="false" outlineLevel="0" collapsed="false">
      <c r="A12" s="20" t="s">
        <v>104</v>
      </c>
      <c r="B12" s="21" t="s">
        <v>105</v>
      </c>
      <c r="C12" s="21" t="s">
        <v>106</v>
      </c>
      <c r="D12" s="21" t="s">
        <v>107</v>
      </c>
      <c r="E12" s="21" t="s">
        <v>108</v>
      </c>
      <c r="F12" s="21"/>
      <c r="G12" s="22" t="s">
        <v>19</v>
      </c>
      <c r="H12" s="21"/>
      <c r="I12" s="21"/>
    </row>
    <row r="13" customFormat="false" ht="35.05" hidden="false" customHeight="false" outlineLevel="0" collapsed="false">
      <c r="A13" s="20" t="s">
        <v>109</v>
      </c>
      <c r="B13" s="21" t="s">
        <v>110</v>
      </c>
      <c r="C13" s="21" t="s">
        <v>101</v>
      </c>
      <c r="D13" s="21" t="s">
        <v>111</v>
      </c>
      <c r="E13" s="21" t="s">
        <v>112</v>
      </c>
      <c r="F13" s="21"/>
      <c r="G13" s="22" t="s">
        <v>19</v>
      </c>
      <c r="H13" s="21"/>
      <c r="I13" s="21"/>
    </row>
  </sheetData>
  <autoFilter ref="A7:I13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7" t="s">
        <v>28</v>
      </c>
      <c r="B1" s="17"/>
      <c r="D1" s="2" t="s">
        <v>0</v>
      </c>
      <c r="E1" s="3" t="s">
        <v>29</v>
      </c>
    </row>
    <row r="2" customFormat="false" ht="15" hidden="false" customHeight="false" outlineLevel="0" collapsed="false">
      <c r="A2" s="18" t="s">
        <v>17</v>
      </c>
      <c r="B2" s="3" t="n">
        <f aca="false">COUNTIF(G9:G14,"Pass")</f>
        <v>0</v>
      </c>
      <c r="D2" s="2" t="s">
        <v>11</v>
      </c>
      <c r="E2" s="3" t="s">
        <v>113</v>
      </c>
    </row>
    <row r="3" customFormat="false" ht="15" hidden="false" customHeight="false" outlineLevel="0" collapsed="false">
      <c r="A3" s="18" t="s">
        <v>18</v>
      </c>
      <c r="B3" s="3" t="n">
        <f aca="false">COUNTIF(G9:G14,"Fail")</f>
        <v>0</v>
      </c>
      <c r="D3" s="2" t="s">
        <v>2</v>
      </c>
      <c r="E3" s="3"/>
    </row>
    <row r="4" customFormat="false" ht="15" hidden="false" customHeight="false" outlineLevel="0" collapsed="false">
      <c r="A4" s="18" t="s">
        <v>19</v>
      </c>
      <c r="B4" s="3" t="n">
        <f aca="false">COUNTIF(G9:G14,"N/T")</f>
        <v>6</v>
      </c>
      <c r="D4" s="2" t="s">
        <v>6</v>
      </c>
      <c r="E4" s="3" t="s">
        <v>7</v>
      </c>
    </row>
    <row r="5" customFormat="false" ht="15" hidden="false" customHeight="false" outlineLevel="0" collapsed="false">
      <c r="A5" s="19" t="s">
        <v>31</v>
      </c>
      <c r="B5" s="3" t="n">
        <f aca="false">SUM(B2:B4)</f>
        <v>6</v>
      </c>
      <c r="D5" s="2" t="s">
        <v>32</v>
      </c>
      <c r="E5" s="3"/>
    </row>
    <row r="7" customFormat="false" ht="21.75" hidden="false" customHeight="true" outlineLevel="0" collapsed="false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28</v>
      </c>
      <c r="H7" s="8" t="s">
        <v>39</v>
      </c>
      <c r="I7" s="8" t="s">
        <v>40</v>
      </c>
    </row>
    <row r="9" customFormat="false" ht="23.85" hidden="false" customHeight="false" outlineLevel="0" collapsed="false">
      <c r="A9" s="20" t="s">
        <v>114</v>
      </c>
      <c r="B9" s="21" t="s">
        <v>115</v>
      </c>
      <c r="C9" s="21" t="s">
        <v>116</v>
      </c>
      <c r="D9" s="21" t="s">
        <v>117</v>
      </c>
      <c r="E9" s="21" t="s">
        <v>118</v>
      </c>
      <c r="F9" s="21"/>
      <c r="G9" s="22" t="s">
        <v>19</v>
      </c>
      <c r="H9" s="21"/>
      <c r="I9" s="21"/>
    </row>
    <row r="10" customFormat="false" ht="23.85" hidden="false" customHeight="false" outlineLevel="0" collapsed="false">
      <c r="A10" s="20" t="s">
        <v>119</v>
      </c>
      <c r="B10" s="21" t="s">
        <v>120</v>
      </c>
      <c r="C10" s="21" t="s">
        <v>121</v>
      </c>
      <c r="D10" s="21" t="s">
        <v>122</v>
      </c>
      <c r="E10" s="21" t="s">
        <v>123</v>
      </c>
      <c r="F10" s="21"/>
      <c r="G10" s="22" t="s">
        <v>19</v>
      </c>
      <c r="H10" s="21"/>
      <c r="I10" s="21"/>
    </row>
    <row r="11" customFormat="false" ht="35.05" hidden="false" customHeight="false" outlineLevel="0" collapsed="false">
      <c r="A11" s="20" t="s">
        <v>124</v>
      </c>
      <c r="B11" s="21" t="s">
        <v>125</v>
      </c>
      <c r="C11" s="21" t="s">
        <v>126</v>
      </c>
      <c r="D11" s="21" t="s">
        <v>127</v>
      </c>
      <c r="E11" s="21" t="s">
        <v>128</v>
      </c>
      <c r="F11" s="21"/>
      <c r="G11" s="22" t="s">
        <v>19</v>
      </c>
      <c r="H11" s="21"/>
      <c r="I11" s="21"/>
    </row>
    <row r="12" customFormat="false" ht="23.85" hidden="false" customHeight="false" outlineLevel="0" collapsed="false">
      <c r="A12" s="20" t="s">
        <v>129</v>
      </c>
      <c r="B12" s="21" t="s">
        <v>130</v>
      </c>
      <c r="C12" s="21" t="s">
        <v>131</v>
      </c>
      <c r="D12" s="21" t="s">
        <v>132</v>
      </c>
      <c r="E12" s="21" t="s">
        <v>133</v>
      </c>
      <c r="F12" s="21"/>
      <c r="G12" s="22" t="s">
        <v>19</v>
      </c>
      <c r="H12" s="21"/>
      <c r="I12" s="21"/>
    </row>
    <row r="13" customFormat="false" ht="23.85" hidden="false" customHeight="false" outlineLevel="0" collapsed="false">
      <c r="A13" s="20" t="s">
        <v>134</v>
      </c>
      <c r="B13" s="21" t="s">
        <v>135</v>
      </c>
      <c r="C13" s="21" t="s">
        <v>136</v>
      </c>
      <c r="D13" s="21" t="s">
        <v>137</v>
      </c>
      <c r="E13" s="21" t="s">
        <v>138</v>
      </c>
      <c r="F13" s="21"/>
      <c r="G13" s="22" t="s">
        <v>19</v>
      </c>
      <c r="H13" s="21"/>
      <c r="I13" s="21"/>
    </row>
    <row r="14" customFormat="false" ht="23.85" hidden="false" customHeight="false" outlineLevel="0" collapsed="false">
      <c r="A14" s="20" t="s">
        <v>139</v>
      </c>
      <c r="B14" s="21" t="s">
        <v>140</v>
      </c>
      <c r="C14" s="21" t="s">
        <v>141</v>
      </c>
      <c r="D14" s="21" t="s">
        <v>142</v>
      </c>
      <c r="E14" s="21" t="s">
        <v>143</v>
      </c>
      <c r="F14" s="21"/>
      <c r="G14" s="22" t="s">
        <v>19</v>
      </c>
      <c r="H14" s="21"/>
      <c r="I14" s="21"/>
    </row>
  </sheetData>
  <autoFilter ref="A7:I14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7" t="s">
        <v>28</v>
      </c>
      <c r="B1" s="17"/>
      <c r="D1" s="2" t="s">
        <v>0</v>
      </c>
      <c r="E1" s="3" t="s">
        <v>29</v>
      </c>
    </row>
    <row r="2" customFormat="false" ht="15" hidden="false" customHeight="false" outlineLevel="0" collapsed="false">
      <c r="A2" s="18" t="s">
        <v>17</v>
      </c>
      <c r="B2" s="3" t="n">
        <f aca="false">COUNTIF(G9:G16,"Pass")</f>
        <v>0</v>
      </c>
      <c r="D2" s="2" t="s">
        <v>11</v>
      </c>
      <c r="E2" s="3" t="s">
        <v>144</v>
      </c>
    </row>
    <row r="3" customFormat="false" ht="15" hidden="false" customHeight="false" outlineLevel="0" collapsed="false">
      <c r="A3" s="18" t="s">
        <v>18</v>
      </c>
      <c r="B3" s="3" t="n">
        <f aca="false">COUNTIF(G9:G16,"Fail")</f>
        <v>0</v>
      </c>
      <c r="D3" s="2" t="s">
        <v>2</v>
      </c>
      <c r="E3" s="3"/>
    </row>
    <row r="4" customFormat="false" ht="15" hidden="false" customHeight="false" outlineLevel="0" collapsed="false">
      <c r="A4" s="18" t="s">
        <v>19</v>
      </c>
      <c r="B4" s="3" t="n">
        <f aca="false">COUNTIF(G9:G16,"N/T")</f>
        <v>8</v>
      </c>
      <c r="D4" s="2" t="s">
        <v>6</v>
      </c>
      <c r="E4" s="3" t="s">
        <v>7</v>
      </c>
    </row>
    <row r="5" customFormat="false" ht="15" hidden="false" customHeight="false" outlineLevel="0" collapsed="false">
      <c r="A5" s="19" t="s">
        <v>31</v>
      </c>
      <c r="B5" s="3" t="n">
        <f aca="false">SUM(B2:B4)</f>
        <v>8</v>
      </c>
      <c r="D5" s="2" t="s">
        <v>32</v>
      </c>
      <c r="E5" s="3"/>
    </row>
    <row r="7" customFormat="false" ht="21.75" hidden="false" customHeight="true" outlineLevel="0" collapsed="false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28</v>
      </c>
      <c r="H7" s="8" t="s">
        <v>39</v>
      </c>
      <c r="I7" s="8" t="s">
        <v>40</v>
      </c>
    </row>
    <row r="9" customFormat="false" ht="23.85" hidden="false" customHeight="false" outlineLevel="0" collapsed="false">
      <c r="A9" s="20" t="s">
        <v>145</v>
      </c>
      <c r="B9" s="21" t="s">
        <v>146</v>
      </c>
      <c r="C9" s="21" t="s">
        <v>147</v>
      </c>
      <c r="D9" s="21" t="s">
        <v>148</v>
      </c>
      <c r="E9" s="21" t="s">
        <v>149</v>
      </c>
      <c r="F9" s="21"/>
      <c r="G9" s="22" t="s">
        <v>19</v>
      </c>
      <c r="H9" s="21"/>
      <c r="I9" s="21"/>
    </row>
    <row r="10" customFormat="false" ht="23.85" hidden="false" customHeight="false" outlineLevel="0" collapsed="false">
      <c r="A10" s="20" t="s">
        <v>150</v>
      </c>
      <c r="B10" s="21" t="s">
        <v>151</v>
      </c>
      <c r="C10" s="21" t="s">
        <v>147</v>
      </c>
      <c r="D10" s="21" t="s">
        <v>152</v>
      </c>
      <c r="E10" s="21" t="s">
        <v>153</v>
      </c>
      <c r="F10" s="21"/>
      <c r="G10" s="22" t="s">
        <v>19</v>
      </c>
      <c r="H10" s="21"/>
      <c r="I10" s="21"/>
    </row>
    <row r="11" customFormat="false" ht="35.05" hidden="false" customHeight="false" outlineLevel="0" collapsed="false">
      <c r="A11" s="20" t="s">
        <v>154</v>
      </c>
      <c r="B11" s="21" t="s">
        <v>155</v>
      </c>
      <c r="C11" s="21" t="s">
        <v>156</v>
      </c>
      <c r="D11" s="21" t="s">
        <v>157</v>
      </c>
      <c r="E11" s="21" t="s">
        <v>158</v>
      </c>
      <c r="F11" s="21"/>
      <c r="G11" s="22" t="s">
        <v>19</v>
      </c>
      <c r="H11" s="21"/>
      <c r="I11" s="21"/>
    </row>
    <row r="12" customFormat="false" ht="35.05" hidden="false" customHeight="false" outlineLevel="0" collapsed="false">
      <c r="A12" s="20" t="s">
        <v>159</v>
      </c>
      <c r="B12" s="21" t="s">
        <v>160</v>
      </c>
      <c r="C12" s="21" t="s">
        <v>161</v>
      </c>
      <c r="D12" s="21" t="s">
        <v>162</v>
      </c>
      <c r="E12" s="21" t="s">
        <v>163</v>
      </c>
      <c r="F12" s="21"/>
      <c r="G12" s="22" t="s">
        <v>19</v>
      </c>
      <c r="H12" s="21"/>
      <c r="I12" s="21"/>
    </row>
    <row r="13" customFormat="false" ht="46.25" hidden="false" customHeight="false" outlineLevel="0" collapsed="false">
      <c r="A13" s="20" t="s">
        <v>164</v>
      </c>
      <c r="B13" s="21" t="s">
        <v>165</v>
      </c>
      <c r="C13" s="21" t="s">
        <v>166</v>
      </c>
      <c r="D13" s="21" t="s">
        <v>167</v>
      </c>
      <c r="E13" s="21" t="s">
        <v>168</v>
      </c>
      <c r="F13" s="21"/>
      <c r="G13" s="22" t="s">
        <v>19</v>
      </c>
      <c r="H13" s="21"/>
      <c r="I13" s="21"/>
    </row>
    <row r="14" customFormat="false" ht="35.05" hidden="false" customHeight="false" outlineLevel="0" collapsed="false">
      <c r="A14" s="20" t="s">
        <v>169</v>
      </c>
      <c r="B14" s="21" t="s">
        <v>170</v>
      </c>
      <c r="C14" s="21" t="s">
        <v>171</v>
      </c>
      <c r="D14" s="21" t="s">
        <v>172</v>
      </c>
      <c r="E14" s="21" t="s">
        <v>173</v>
      </c>
      <c r="F14" s="21"/>
      <c r="G14" s="22" t="s">
        <v>19</v>
      </c>
      <c r="H14" s="21"/>
      <c r="I14" s="21"/>
    </row>
    <row r="15" customFormat="false" ht="23.85" hidden="false" customHeight="false" outlineLevel="0" collapsed="false">
      <c r="A15" s="20" t="s">
        <v>174</v>
      </c>
      <c r="B15" s="21" t="s">
        <v>175</v>
      </c>
      <c r="C15" s="21" t="s">
        <v>176</v>
      </c>
      <c r="D15" s="21" t="s">
        <v>177</v>
      </c>
      <c r="E15" s="21" t="s">
        <v>178</v>
      </c>
      <c r="F15" s="21"/>
      <c r="G15" s="22" t="s">
        <v>19</v>
      </c>
      <c r="H15" s="21"/>
      <c r="I15" s="21"/>
    </row>
    <row r="16" customFormat="false" ht="35.05" hidden="false" customHeight="false" outlineLevel="0" collapsed="false">
      <c r="A16" s="20" t="s">
        <v>179</v>
      </c>
      <c r="B16" s="21" t="s">
        <v>180</v>
      </c>
      <c r="C16" s="21" t="s">
        <v>181</v>
      </c>
      <c r="D16" s="21" t="s">
        <v>182</v>
      </c>
      <c r="E16" s="21" t="s">
        <v>183</v>
      </c>
      <c r="F16" s="21"/>
      <c r="G16" s="22" t="s">
        <v>19</v>
      </c>
      <c r="H16" s="21"/>
      <c r="I16" s="21"/>
    </row>
  </sheetData>
  <autoFilter ref="A7:I16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7" t="s">
        <v>28</v>
      </c>
      <c r="B1" s="17"/>
      <c r="D1" s="2" t="s">
        <v>0</v>
      </c>
      <c r="E1" s="3" t="s">
        <v>29</v>
      </c>
    </row>
    <row r="2" customFormat="false" ht="15" hidden="false" customHeight="false" outlineLevel="0" collapsed="false">
      <c r="A2" s="18" t="s">
        <v>17</v>
      </c>
      <c r="B2" s="3" t="n">
        <f aca="false">COUNTIF(G9:G11,"Pass")</f>
        <v>0</v>
      </c>
      <c r="D2" s="2" t="s">
        <v>11</v>
      </c>
      <c r="E2" s="3" t="s">
        <v>184</v>
      </c>
    </row>
    <row r="3" customFormat="false" ht="15" hidden="false" customHeight="false" outlineLevel="0" collapsed="false">
      <c r="A3" s="18" t="s">
        <v>18</v>
      </c>
      <c r="B3" s="3" t="n">
        <f aca="false">COUNTIF(G9:G11,"Fail")</f>
        <v>0</v>
      </c>
      <c r="D3" s="2" t="s">
        <v>2</v>
      </c>
      <c r="E3" s="3"/>
    </row>
    <row r="4" customFormat="false" ht="15" hidden="false" customHeight="false" outlineLevel="0" collapsed="false">
      <c r="A4" s="18" t="s">
        <v>19</v>
      </c>
      <c r="B4" s="3" t="n">
        <f aca="false">COUNTIF(G9:G11,"N/T")</f>
        <v>3</v>
      </c>
      <c r="D4" s="2" t="s">
        <v>6</v>
      </c>
      <c r="E4" s="3" t="s">
        <v>7</v>
      </c>
    </row>
    <row r="5" customFormat="false" ht="15" hidden="false" customHeight="false" outlineLevel="0" collapsed="false">
      <c r="A5" s="19" t="s">
        <v>31</v>
      </c>
      <c r="B5" s="3" t="n">
        <f aca="false">SUM(B2:B4)</f>
        <v>3</v>
      </c>
      <c r="D5" s="2" t="s">
        <v>32</v>
      </c>
      <c r="E5" s="3"/>
    </row>
    <row r="7" customFormat="false" ht="21.75" hidden="false" customHeight="true" outlineLevel="0" collapsed="false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28</v>
      </c>
      <c r="H7" s="8" t="s">
        <v>39</v>
      </c>
      <c r="I7" s="8" t="s">
        <v>40</v>
      </c>
    </row>
    <row r="9" customFormat="false" ht="46.25" hidden="false" customHeight="false" outlineLevel="0" collapsed="false">
      <c r="A9" s="20" t="s">
        <v>185</v>
      </c>
      <c r="B9" s="21" t="s">
        <v>186</v>
      </c>
      <c r="C9" s="21" t="s">
        <v>187</v>
      </c>
      <c r="D9" s="21" t="s">
        <v>188</v>
      </c>
      <c r="E9" s="21" t="s">
        <v>189</v>
      </c>
      <c r="F9" s="21"/>
      <c r="G9" s="22" t="s">
        <v>19</v>
      </c>
      <c r="H9" s="21"/>
      <c r="I9" s="21"/>
    </row>
    <row r="10" customFormat="false" ht="46.25" hidden="false" customHeight="false" outlineLevel="0" collapsed="false">
      <c r="A10" s="20" t="s">
        <v>190</v>
      </c>
      <c r="B10" s="21" t="s">
        <v>191</v>
      </c>
      <c r="C10" s="21" t="s">
        <v>192</v>
      </c>
      <c r="D10" s="21" t="s">
        <v>193</v>
      </c>
      <c r="E10" s="21" t="s">
        <v>194</v>
      </c>
      <c r="F10" s="21"/>
      <c r="G10" s="22" t="s">
        <v>19</v>
      </c>
      <c r="H10" s="21"/>
      <c r="I10" s="21"/>
    </row>
    <row r="11" customFormat="false" ht="35.05" hidden="false" customHeight="false" outlineLevel="0" collapsed="false">
      <c r="A11" s="20" t="s">
        <v>195</v>
      </c>
      <c r="B11" s="21" t="s">
        <v>196</v>
      </c>
      <c r="C11" s="21" t="s">
        <v>197</v>
      </c>
      <c r="D11" s="21" t="s">
        <v>198</v>
      </c>
      <c r="E11" s="21" t="s">
        <v>199</v>
      </c>
      <c r="F11" s="21"/>
      <c r="G11" s="22" t="s">
        <v>19</v>
      </c>
      <c r="H11" s="21"/>
      <c r="I11" s="21"/>
    </row>
  </sheetData>
  <autoFilter ref="A7:I11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7" t="s">
        <v>28</v>
      </c>
      <c r="B1" s="17"/>
      <c r="D1" s="2" t="s">
        <v>0</v>
      </c>
      <c r="E1" s="3" t="s">
        <v>29</v>
      </c>
    </row>
    <row r="2" customFormat="false" ht="15" hidden="false" customHeight="false" outlineLevel="0" collapsed="false">
      <c r="A2" s="18" t="s">
        <v>17</v>
      </c>
      <c r="B2" s="3" t="n">
        <f aca="false">COUNTIF(G9:G14,"Pass")</f>
        <v>0</v>
      </c>
      <c r="D2" s="2" t="s">
        <v>11</v>
      </c>
      <c r="E2" s="3" t="s">
        <v>200</v>
      </c>
    </row>
    <row r="3" customFormat="false" ht="15" hidden="false" customHeight="false" outlineLevel="0" collapsed="false">
      <c r="A3" s="18" t="s">
        <v>18</v>
      </c>
      <c r="B3" s="3" t="n">
        <f aca="false">COUNTIF(G9:G14,"Fail")</f>
        <v>0</v>
      </c>
      <c r="D3" s="2" t="s">
        <v>2</v>
      </c>
      <c r="E3" s="3"/>
    </row>
    <row r="4" customFormat="false" ht="15" hidden="false" customHeight="false" outlineLevel="0" collapsed="false">
      <c r="A4" s="18" t="s">
        <v>19</v>
      </c>
      <c r="B4" s="3" t="n">
        <f aca="false">COUNTIF(G9:G14,"N/T")</f>
        <v>6</v>
      </c>
      <c r="D4" s="2" t="s">
        <v>6</v>
      </c>
      <c r="E4" s="3" t="s">
        <v>7</v>
      </c>
    </row>
    <row r="5" customFormat="false" ht="15" hidden="false" customHeight="false" outlineLevel="0" collapsed="false">
      <c r="A5" s="19" t="s">
        <v>31</v>
      </c>
      <c r="B5" s="3" t="n">
        <f aca="false">SUM(B2:B4)</f>
        <v>6</v>
      </c>
      <c r="D5" s="2" t="s">
        <v>32</v>
      </c>
      <c r="E5" s="3"/>
    </row>
    <row r="7" customFormat="false" ht="21.75" hidden="false" customHeight="true" outlineLevel="0" collapsed="false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28</v>
      </c>
      <c r="H7" s="8" t="s">
        <v>39</v>
      </c>
      <c r="I7" s="8" t="s">
        <v>40</v>
      </c>
    </row>
    <row r="9" customFormat="false" ht="35.05" hidden="false" customHeight="false" outlineLevel="0" collapsed="false">
      <c r="A9" s="20" t="s">
        <v>201</v>
      </c>
      <c r="B9" s="21" t="s">
        <v>202</v>
      </c>
      <c r="C9" s="21" t="s">
        <v>203</v>
      </c>
      <c r="D9" s="21" t="s">
        <v>204</v>
      </c>
      <c r="E9" s="21" t="s">
        <v>205</v>
      </c>
      <c r="F9" s="21"/>
      <c r="G9" s="22" t="s">
        <v>19</v>
      </c>
      <c r="H9" s="21"/>
      <c r="I9" s="21"/>
    </row>
    <row r="10" customFormat="false" ht="46.25" hidden="false" customHeight="false" outlineLevel="0" collapsed="false">
      <c r="A10" s="20" t="s">
        <v>206</v>
      </c>
      <c r="B10" s="21" t="s">
        <v>207</v>
      </c>
      <c r="C10" s="21" t="s">
        <v>126</v>
      </c>
      <c r="D10" s="21" t="s">
        <v>208</v>
      </c>
      <c r="E10" s="21" t="s">
        <v>209</v>
      </c>
      <c r="F10" s="21"/>
      <c r="G10" s="22" t="s">
        <v>19</v>
      </c>
      <c r="H10" s="21"/>
      <c r="I10" s="21"/>
    </row>
    <row r="11" customFormat="false" ht="46.25" hidden="false" customHeight="false" outlineLevel="0" collapsed="false">
      <c r="A11" s="20" t="s">
        <v>210</v>
      </c>
      <c r="B11" s="21" t="s">
        <v>211</v>
      </c>
      <c r="C11" s="21" t="s">
        <v>212</v>
      </c>
      <c r="D11" s="21" t="s">
        <v>213</v>
      </c>
      <c r="E11" s="21" t="s">
        <v>214</v>
      </c>
      <c r="F11" s="21"/>
      <c r="G11" s="22" t="s">
        <v>19</v>
      </c>
      <c r="H11" s="21"/>
      <c r="I11" s="21"/>
    </row>
    <row r="12" customFormat="false" ht="46.25" hidden="false" customHeight="false" outlineLevel="0" collapsed="false">
      <c r="A12" s="20" t="s">
        <v>215</v>
      </c>
      <c r="B12" s="21" t="s">
        <v>216</v>
      </c>
      <c r="C12" s="21" t="s">
        <v>217</v>
      </c>
      <c r="D12" s="21" t="s">
        <v>218</v>
      </c>
      <c r="E12" s="21" t="s">
        <v>219</v>
      </c>
      <c r="F12" s="21"/>
      <c r="G12" s="22" t="s">
        <v>19</v>
      </c>
      <c r="H12" s="21"/>
      <c r="I12" s="21"/>
    </row>
    <row r="13" customFormat="false" ht="35.05" hidden="false" customHeight="false" outlineLevel="0" collapsed="false">
      <c r="A13" s="20" t="s">
        <v>220</v>
      </c>
      <c r="B13" s="21" t="s">
        <v>221</v>
      </c>
      <c r="C13" s="21" t="s">
        <v>222</v>
      </c>
      <c r="D13" s="21" t="s">
        <v>223</v>
      </c>
      <c r="E13" s="21" t="s">
        <v>224</v>
      </c>
      <c r="F13" s="21"/>
      <c r="G13" s="22" t="s">
        <v>19</v>
      </c>
      <c r="H13" s="21"/>
      <c r="I13" s="21"/>
    </row>
    <row r="14" customFormat="false" ht="23.85" hidden="false" customHeight="false" outlineLevel="0" collapsed="false">
      <c r="A14" s="20" t="s">
        <v>225</v>
      </c>
      <c r="B14" s="21" t="s">
        <v>226</v>
      </c>
      <c r="C14" s="21" t="s">
        <v>227</v>
      </c>
      <c r="D14" s="21" t="s">
        <v>228</v>
      </c>
      <c r="E14" s="21" t="s">
        <v>229</v>
      </c>
      <c r="F14" s="21"/>
      <c r="G14" s="22" t="s">
        <v>19</v>
      </c>
      <c r="H14" s="21"/>
      <c r="I14" s="21"/>
    </row>
  </sheetData>
  <autoFilter ref="A7:I14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7" t="s">
        <v>28</v>
      </c>
      <c r="B1" s="17"/>
      <c r="D1" s="2" t="s">
        <v>0</v>
      </c>
      <c r="E1" s="3" t="s">
        <v>29</v>
      </c>
    </row>
    <row r="2" customFormat="false" ht="15" hidden="false" customHeight="false" outlineLevel="0" collapsed="false">
      <c r="A2" s="18" t="s">
        <v>17</v>
      </c>
      <c r="B2" s="3" t="n">
        <f aca="false">COUNTIF(G9:G11,"Pass")</f>
        <v>0</v>
      </c>
      <c r="D2" s="2" t="s">
        <v>11</v>
      </c>
      <c r="E2" s="3" t="s">
        <v>230</v>
      </c>
    </row>
    <row r="3" customFormat="false" ht="15" hidden="false" customHeight="false" outlineLevel="0" collapsed="false">
      <c r="A3" s="18" t="s">
        <v>18</v>
      </c>
      <c r="B3" s="3" t="n">
        <f aca="false">COUNTIF(G9:G11,"Fail")</f>
        <v>0</v>
      </c>
      <c r="D3" s="2" t="s">
        <v>2</v>
      </c>
      <c r="E3" s="3"/>
    </row>
    <row r="4" customFormat="false" ht="15" hidden="false" customHeight="false" outlineLevel="0" collapsed="false">
      <c r="A4" s="18" t="s">
        <v>19</v>
      </c>
      <c r="B4" s="3" t="n">
        <f aca="false">COUNTIF(G9:G11,"N/T")</f>
        <v>3</v>
      </c>
      <c r="D4" s="2" t="s">
        <v>6</v>
      </c>
      <c r="E4" s="3" t="s">
        <v>7</v>
      </c>
    </row>
    <row r="5" customFormat="false" ht="15" hidden="false" customHeight="false" outlineLevel="0" collapsed="false">
      <c r="A5" s="19" t="s">
        <v>31</v>
      </c>
      <c r="B5" s="3" t="n">
        <f aca="false">SUM(B2:B4)</f>
        <v>3</v>
      </c>
      <c r="D5" s="2" t="s">
        <v>32</v>
      </c>
      <c r="E5" s="3"/>
    </row>
    <row r="7" customFormat="false" ht="21.75" hidden="false" customHeight="true" outlineLevel="0" collapsed="false">
      <c r="A7" s="8" t="s">
        <v>33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38</v>
      </c>
      <c r="G7" s="8" t="s">
        <v>28</v>
      </c>
      <c r="H7" s="8" t="s">
        <v>39</v>
      </c>
      <c r="I7" s="8" t="s">
        <v>40</v>
      </c>
    </row>
    <row r="9" customFormat="false" ht="35.05" hidden="false" customHeight="false" outlineLevel="0" collapsed="false">
      <c r="A9" s="20" t="s">
        <v>231</v>
      </c>
      <c r="B9" s="21" t="s">
        <v>232</v>
      </c>
      <c r="C9" s="21" t="s">
        <v>233</v>
      </c>
      <c r="D9" s="21" t="s">
        <v>234</v>
      </c>
      <c r="E9" s="21" t="s">
        <v>235</v>
      </c>
      <c r="F9" s="21"/>
      <c r="G9" s="22" t="s">
        <v>19</v>
      </c>
      <c r="H9" s="21"/>
      <c r="I9" s="21"/>
    </row>
    <row r="10" customFormat="false" ht="35.05" hidden="false" customHeight="false" outlineLevel="0" collapsed="false">
      <c r="A10" s="20" t="s">
        <v>236</v>
      </c>
      <c r="B10" s="21" t="s">
        <v>237</v>
      </c>
      <c r="C10" s="21" t="s">
        <v>238</v>
      </c>
      <c r="D10" s="21" t="s">
        <v>239</v>
      </c>
      <c r="E10" s="21" t="s">
        <v>235</v>
      </c>
      <c r="F10" s="21"/>
      <c r="G10" s="22" t="s">
        <v>19</v>
      </c>
      <c r="H10" s="21"/>
      <c r="I10" s="21"/>
    </row>
    <row r="11" customFormat="false" ht="35.05" hidden="false" customHeight="false" outlineLevel="0" collapsed="false">
      <c r="A11" s="20" t="s">
        <v>240</v>
      </c>
      <c r="B11" s="21" t="s">
        <v>241</v>
      </c>
      <c r="C11" s="21" t="s">
        <v>242</v>
      </c>
      <c r="D11" s="21" t="s">
        <v>243</v>
      </c>
      <c r="E11" s="21" t="s">
        <v>244</v>
      </c>
      <c r="F11" s="21"/>
      <c r="G11" s="22" t="s">
        <v>19</v>
      </c>
      <c r="H11" s="21"/>
      <c r="I11" s="21"/>
    </row>
  </sheetData>
  <autoFilter ref="A7:I11"/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2026-08-01T15:47:56Z</dcterms:created>
  <dc:creator>openpyxl</dc:creator>
  <dc:description/>
  <dc:language>en-US</dc:language>
  <cp:lastModifiedBy/>
  <dcterms:modified xsi:type="dcterms:W3CDTF">2026-08-01T15:47:56Z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